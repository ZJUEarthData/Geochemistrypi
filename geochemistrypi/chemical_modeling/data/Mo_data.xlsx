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下载-微信\WeChat Files\wxid_moiw575uq66g22\FileStorage\File\2025-01\1.8\"/>
    </mc:Choice>
  </mc:AlternateContent>
  <xr:revisionPtr revIDLastSave="0" documentId="13_ncr:1_{E61C7B4C-BF85-446B-BF27-666BED1BA118}" xr6:coauthVersionLast="47" xr6:coauthVersionMax="47" xr10:uidLastSave="{00000000-0000-0000-0000-000000000000}"/>
  <bookViews>
    <workbookView xWindow="5904" yWindow="156" windowWidth="16500" windowHeight="12024" firstSheet="1" activeTab="3" xr2:uid="{00000000-000D-0000-FFFF-FFFF00000000}"/>
  </bookViews>
  <sheets>
    <sheet name="1标定实验填写结果" sheetId="3" r:id="rId1"/>
    <sheet name="2测试实验填写结果" sheetId="4" r:id="rId2"/>
    <sheet name="3程序处理_输入常数" sheetId="1" r:id="rId3"/>
    <sheet name="4程序处理_输入变值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D2" i="1"/>
  <c r="C2" i="1"/>
  <c r="B2" i="1"/>
  <c r="A2" i="1"/>
  <c r="D13" i="3"/>
  <c r="D15" i="3"/>
  <c r="D14" i="3"/>
  <c r="F4" i="3"/>
  <c r="E4" i="3"/>
  <c r="D21" i="3" s="1"/>
  <c r="I2" i="1" s="1"/>
  <c r="D4" i="3"/>
  <c r="C4" i="3"/>
  <c r="B4" i="3"/>
  <c r="D19" i="3" l="1"/>
  <c r="G2" i="1" s="1"/>
  <c r="D20" i="3"/>
  <c r="H2" i="1" s="1"/>
</calcChain>
</file>

<file path=xl/sharedStrings.xml><?xml version="1.0" encoding="utf-8"?>
<sst xmlns="http://schemas.openxmlformats.org/spreadsheetml/2006/main" count="63" uniqueCount="41">
  <si>
    <t>R_100_sp</t>
  </si>
  <si>
    <t>R_98_sp</t>
  </si>
  <si>
    <t>R_97_sp</t>
  </si>
  <si>
    <t>r_100_mix</t>
  </si>
  <si>
    <t>r_98_mix</t>
  </si>
  <si>
    <t>r_97_mix</t>
  </si>
  <si>
    <t>R_100_std</t>
  </si>
  <si>
    <t>R_98_std</t>
  </si>
  <si>
    <t>R_97_std</t>
  </si>
  <si>
    <t>R(sp,100/95)</t>
    <phoneticPr fontId="1" type="noConversion"/>
  </si>
  <si>
    <t>R(sp,98/95)</t>
    <phoneticPr fontId="1" type="noConversion"/>
  </si>
  <si>
    <t>R(sp,97/95)</t>
    <phoneticPr fontId="1" type="noConversion"/>
  </si>
  <si>
    <t>R(std,100/95)</t>
    <phoneticPr fontId="1" type="noConversion"/>
  </si>
  <si>
    <t>R(std,97/95)</t>
    <phoneticPr fontId="1" type="noConversion"/>
  </si>
  <si>
    <t>r(mix,100/95)</t>
    <phoneticPr fontId="1" type="noConversion"/>
  </si>
  <si>
    <t>r(mix,98/95)</t>
    <phoneticPr fontId="1" type="noConversion"/>
  </si>
  <si>
    <t>r(mix,97/95)</t>
    <phoneticPr fontId="1" type="noConversion"/>
  </si>
  <si>
    <t>95Mo/100Mo</t>
    <phoneticPr fontId="1" type="noConversion"/>
  </si>
  <si>
    <t>95Mo/98Mo</t>
    <phoneticPr fontId="1" type="noConversion"/>
  </si>
  <si>
    <t>95Mo/97Mo</t>
    <phoneticPr fontId="1" type="noConversion"/>
  </si>
  <si>
    <r>
      <rPr>
        <b/>
        <sz val="20"/>
        <color theme="1"/>
        <rFont val="仿宋"/>
        <family val="3"/>
        <charset val="134"/>
      </rPr>
      <t>样品</t>
    </r>
    <r>
      <rPr>
        <b/>
        <sz val="20"/>
        <color theme="1"/>
        <rFont val="Times New Roman"/>
        <family val="1"/>
      </rPr>
      <t>Mo</t>
    </r>
    <r>
      <rPr>
        <b/>
        <sz val="20"/>
        <color theme="1"/>
        <rFont val="仿宋"/>
        <family val="3"/>
        <charset val="134"/>
      </rPr>
      <t>同位素仪器测试结果</t>
    </r>
    <phoneticPr fontId="1" type="noConversion"/>
  </si>
  <si>
    <r>
      <rPr>
        <b/>
        <sz val="20"/>
        <color theme="1"/>
        <rFont val="仿宋"/>
        <family val="3"/>
        <charset val="134"/>
      </rPr>
      <t>下列内容复制粘贴到分表</t>
    </r>
    <r>
      <rPr>
        <b/>
        <sz val="20"/>
        <color theme="1"/>
        <rFont val="Times New Roman"/>
        <family val="1"/>
      </rPr>
      <t>4</t>
    </r>
    <phoneticPr fontId="1" type="noConversion"/>
  </si>
  <si>
    <r>
      <rPr>
        <b/>
        <vertAlign val="superscript"/>
        <sz val="11"/>
        <color rgb="FFFF0000"/>
        <rFont val="Times New Roman"/>
        <family val="1"/>
      </rPr>
      <t>100</t>
    </r>
    <r>
      <rPr>
        <b/>
        <sz val="11"/>
        <color rgb="FFFF0000"/>
        <rFont val="Times New Roman"/>
        <family val="1"/>
      </rPr>
      <t>Mo/</t>
    </r>
    <r>
      <rPr>
        <b/>
        <vertAlign val="superscript"/>
        <sz val="11"/>
        <color rgb="FFFF0000"/>
        <rFont val="Times New Roman"/>
        <family val="1"/>
      </rPr>
      <t>97</t>
    </r>
    <r>
      <rPr>
        <b/>
        <sz val="11"/>
        <color rgb="FFFF0000"/>
        <rFont val="Times New Roman"/>
        <family val="1"/>
      </rPr>
      <t>Mo</t>
    </r>
    <phoneticPr fontId="1" type="noConversion"/>
  </si>
  <si>
    <r>
      <rPr>
        <b/>
        <vertAlign val="superscript"/>
        <sz val="11"/>
        <color rgb="FFFF0000"/>
        <rFont val="Times New Roman"/>
        <family val="1"/>
      </rPr>
      <t>98</t>
    </r>
    <r>
      <rPr>
        <b/>
        <sz val="11"/>
        <color rgb="FFFF0000"/>
        <rFont val="Times New Roman"/>
        <family val="1"/>
      </rPr>
      <t>Mo/</t>
    </r>
    <r>
      <rPr>
        <b/>
        <vertAlign val="superscript"/>
        <sz val="11"/>
        <color rgb="FFFF0000"/>
        <rFont val="Times New Roman"/>
        <family val="1"/>
      </rPr>
      <t>97</t>
    </r>
    <r>
      <rPr>
        <b/>
        <sz val="11"/>
        <color rgb="FFFF0000"/>
        <rFont val="Times New Roman"/>
        <family val="1"/>
      </rPr>
      <t>Mo</t>
    </r>
    <phoneticPr fontId="1" type="noConversion"/>
  </si>
  <si>
    <r>
      <rPr>
        <b/>
        <vertAlign val="superscript"/>
        <sz val="11"/>
        <color theme="1"/>
        <rFont val="Times New Roman"/>
        <family val="1"/>
      </rPr>
      <t>96</t>
    </r>
    <r>
      <rPr>
        <b/>
        <sz val="11"/>
        <color theme="1"/>
        <rFont val="Times New Roman"/>
        <family val="1"/>
      </rPr>
      <t>Mo/</t>
    </r>
    <r>
      <rPr>
        <b/>
        <vertAlign val="superscript"/>
        <sz val="11"/>
        <color theme="1"/>
        <rFont val="Times New Roman"/>
        <family val="1"/>
      </rPr>
      <t>97</t>
    </r>
    <r>
      <rPr>
        <b/>
        <sz val="11"/>
        <color theme="1"/>
        <rFont val="Times New Roman"/>
        <family val="1"/>
      </rPr>
      <t>Mo</t>
    </r>
    <phoneticPr fontId="1" type="noConversion"/>
  </si>
  <si>
    <r>
      <rPr>
        <b/>
        <vertAlign val="superscript"/>
        <sz val="11"/>
        <color rgb="FFFF0000"/>
        <rFont val="Times New Roman"/>
        <family val="1"/>
      </rPr>
      <t>95</t>
    </r>
    <r>
      <rPr>
        <b/>
        <sz val="11"/>
        <color rgb="FFFF0000"/>
        <rFont val="Times New Roman"/>
        <family val="1"/>
      </rPr>
      <t>Mo/</t>
    </r>
    <r>
      <rPr>
        <b/>
        <vertAlign val="superscript"/>
        <sz val="11"/>
        <color rgb="FFFF0000"/>
        <rFont val="Times New Roman"/>
        <family val="1"/>
      </rPr>
      <t>97</t>
    </r>
    <r>
      <rPr>
        <b/>
        <sz val="11"/>
        <color rgb="FFFF0000"/>
        <rFont val="Times New Roman"/>
        <family val="1"/>
      </rPr>
      <t>Mo</t>
    </r>
    <phoneticPr fontId="1" type="noConversion"/>
  </si>
  <si>
    <r>
      <rPr>
        <b/>
        <vertAlign val="superscript"/>
        <sz val="11"/>
        <color theme="1"/>
        <rFont val="Times New Roman"/>
        <family val="1"/>
      </rPr>
      <t>94</t>
    </r>
    <r>
      <rPr>
        <b/>
        <sz val="11"/>
        <color theme="1"/>
        <rFont val="Times New Roman"/>
        <family val="1"/>
      </rPr>
      <t>Mo/</t>
    </r>
    <r>
      <rPr>
        <b/>
        <vertAlign val="superscript"/>
        <sz val="11"/>
        <color theme="1"/>
        <rFont val="Times New Roman"/>
        <family val="1"/>
      </rPr>
      <t>97</t>
    </r>
    <r>
      <rPr>
        <b/>
        <sz val="11"/>
        <color theme="1"/>
        <rFont val="Times New Roman"/>
        <family val="1"/>
      </rPr>
      <t>Mo</t>
    </r>
    <phoneticPr fontId="1" type="noConversion"/>
  </si>
  <si>
    <r>
      <rPr>
        <b/>
        <sz val="11"/>
        <color theme="1"/>
        <rFont val="仿宋"/>
        <family val="3"/>
        <charset val="134"/>
      </rPr>
      <t>表</t>
    </r>
    <r>
      <rPr>
        <b/>
        <sz val="11"/>
        <color theme="1"/>
        <rFont val="Times New Roman"/>
        <family val="1"/>
      </rPr>
      <t xml:space="preserve"> 1 </t>
    </r>
    <r>
      <rPr>
        <b/>
        <vertAlign val="superscript"/>
        <sz val="11"/>
        <color theme="1"/>
        <rFont val="Times New Roman"/>
        <family val="1"/>
      </rPr>
      <t>100</t>
    </r>
    <r>
      <rPr>
        <b/>
        <sz val="11"/>
        <color theme="1"/>
        <rFont val="Times New Roman"/>
        <family val="1"/>
      </rPr>
      <t>Mo-</t>
    </r>
    <r>
      <rPr>
        <b/>
        <vertAlign val="superscript"/>
        <sz val="11"/>
        <color theme="1"/>
        <rFont val="Times New Roman"/>
        <family val="1"/>
      </rPr>
      <t>97</t>
    </r>
    <r>
      <rPr>
        <b/>
        <sz val="11"/>
        <color theme="1"/>
        <rFont val="Times New Roman"/>
        <family val="1"/>
      </rPr>
      <t>Mo</t>
    </r>
    <r>
      <rPr>
        <b/>
        <sz val="11"/>
        <color theme="1"/>
        <rFont val="仿宋"/>
        <family val="3"/>
        <charset val="134"/>
      </rPr>
      <t>双稀释剂和</t>
    </r>
    <r>
      <rPr>
        <b/>
        <sz val="11"/>
        <color theme="1"/>
        <rFont val="Times New Roman"/>
        <family val="1"/>
      </rPr>
      <t xml:space="preserve"> Fischer </t>
    </r>
    <r>
      <rPr>
        <b/>
        <sz val="11"/>
        <color theme="1"/>
        <rFont val="仿宋"/>
        <family val="3"/>
        <charset val="134"/>
      </rPr>
      <t>标准样品同位素比值的标定结果</t>
    </r>
    <phoneticPr fontId="1" type="noConversion"/>
  </si>
  <si>
    <r>
      <rPr>
        <b/>
        <sz val="11"/>
        <color theme="1"/>
        <rFont val="仿宋"/>
        <family val="3"/>
        <charset val="134"/>
      </rPr>
      <t>试剂</t>
    </r>
    <phoneticPr fontId="1" type="noConversion"/>
  </si>
  <si>
    <r>
      <rPr>
        <b/>
        <vertAlign val="superscript"/>
        <sz val="11"/>
        <color theme="1"/>
        <rFont val="Times New Roman"/>
        <family val="1"/>
      </rPr>
      <t>100</t>
    </r>
    <r>
      <rPr>
        <b/>
        <sz val="11"/>
        <color theme="1"/>
        <rFont val="Times New Roman"/>
        <family val="1"/>
      </rPr>
      <t>Mo/</t>
    </r>
    <r>
      <rPr>
        <b/>
        <vertAlign val="superscript"/>
        <sz val="11"/>
        <color theme="1"/>
        <rFont val="Times New Roman"/>
        <family val="1"/>
      </rPr>
      <t>97</t>
    </r>
    <r>
      <rPr>
        <b/>
        <sz val="11"/>
        <color theme="1"/>
        <rFont val="Times New Roman"/>
        <family val="1"/>
      </rPr>
      <t>Mo</t>
    </r>
    <phoneticPr fontId="1" type="noConversion"/>
  </si>
  <si>
    <r>
      <rPr>
        <b/>
        <vertAlign val="superscript"/>
        <sz val="11"/>
        <color theme="1"/>
        <rFont val="Times New Roman"/>
        <family val="1"/>
      </rPr>
      <t>98</t>
    </r>
    <r>
      <rPr>
        <b/>
        <sz val="11"/>
        <color theme="1"/>
        <rFont val="Times New Roman"/>
        <family val="1"/>
      </rPr>
      <t>Mo/</t>
    </r>
    <r>
      <rPr>
        <b/>
        <vertAlign val="superscript"/>
        <sz val="11"/>
        <color theme="1"/>
        <rFont val="Times New Roman"/>
        <family val="1"/>
      </rPr>
      <t>97</t>
    </r>
    <r>
      <rPr>
        <b/>
        <sz val="11"/>
        <color theme="1"/>
        <rFont val="Times New Roman"/>
        <family val="1"/>
      </rPr>
      <t>Mo</t>
    </r>
    <phoneticPr fontId="1" type="noConversion"/>
  </si>
  <si>
    <r>
      <rPr>
        <b/>
        <vertAlign val="superscript"/>
        <sz val="11"/>
        <color theme="1"/>
        <rFont val="Times New Roman"/>
        <family val="1"/>
      </rPr>
      <t>95</t>
    </r>
    <r>
      <rPr>
        <b/>
        <sz val="11"/>
        <color theme="1"/>
        <rFont val="Times New Roman"/>
        <family val="1"/>
      </rPr>
      <t>Mo/</t>
    </r>
    <r>
      <rPr>
        <b/>
        <vertAlign val="superscript"/>
        <sz val="11"/>
        <color theme="1"/>
        <rFont val="Times New Roman"/>
        <family val="1"/>
      </rPr>
      <t>97</t>
    </r>
    <r>
      <rPr>
        <b/>
        <sz val="11"/>
        <color theme="1"/>
        <rFont val="Times New Roman"/>
        <family val="1"/>
      </rPr>
      <t>Mo</t>
    </r>
    <phoneticPr fontId="1" type="noConversion"/>
  </si>
  <si>
    <r>
      <rPr>
        <b/>
        <sz val="11"/>
        <color theme="1"/>
        <rFont val="仿宋"/>
        <family val="3"/>
        <charset val="134"/>
      </rPr>
      <t>双稀释剂</t>
    </r>
    <phoneticPr fontId="1" type="noConversion"/>
  </si>
  <si>
    <r>
      <rPr>
        <b/>
        <sz val="11"/>
        <color theme="1"/>
        <rFont val="仿宋"/>
        <family val="3"/>
        <charset val="134"/>
      </rPr>
      <t>标准样品</t>
    </r>
    <phoneticPr fontId="1" type="noConversion"/>
  </si>
  <si>
    <r>
      <rPr>
        <b/>
        <sz val="11"/>
        <color theme="1"/>
        <rFont val="仿宋"/>
        <family val="3"/>
        <charset val="134"/>
      </rPr>
      <t>表</t>
    </r>
    <r>
      <rPr>
        <b/>
        <sz val="11"/>
        <color theme="1"/>
        <rFont val="Times New Roman"/>
        <family val="1"/>
      </rPr>
      <t xml:space="preserve"> 2 </t>
    </r>
    <r>
      <rPr>
        <b/>
        <sz val="11"/>
        <color theme="1"/>
        <rFont val="仿宋"/>
        <family val="3"/>
        <charset val="134"/>
      </rPr>
      <t>样品</t>
    </r>
    <r>
      <rPr>
        <b/>
        <sz val="11"/>
        <color theme="1"/>
        <rFont val="Times New Roman"/>
        <family val="1"/>
      </rPr>
      <t xml:space="preserve">(sple ) </t>
    </r>
    <r>
      <rPr>
        <b/>
        <sz val="11"/>
        <color theme="1"/>
        <rFont val="仿宋"/>
        <family val="3"/>
        <charset val="134"/>
      </rPr>
      <t>和混合溶液</t>
    </r>
    <r>
      <rPr>
        <b/>
        <sz val="11"/>
        <color theme="1"/>
        <rFont val="Times New Roman"/>
        <family val="1"/>
      </rPr>
      <t xml:space="preserve">(mix ) </t>
    </r>
    <r>
      <rPr>
        <b/>
        <sz val="11"/>
        <color theme="1"/>
        <rFont val="仿宋"/>
        <family val="3"/>
        <charset val="134"/>
      </rPr>
      <t>仪器分析的比值</t>
    </r>
    <phoneticPr fontId="1" type="noConversion"/>
  </si>
  <si>
    <r>
      <rPr>
        <b/>
        <sz val="11"/>
        <color theme="1"/>
        <rFont val="仿宋"/>
        <family val="3"/>
        <charset val="134"/>
      </rPr>
      <t>混合溶液</t>
    </r>
    <phoneticPr fontId="1" type="noConversion"/>
  </si>
  <si>
    <r>
      <rPr>
        <b/>
        <sz val="11"/>
        <color theme="1"/>
        <rFont val="仿宋"/>
        <family val="3"/>
        <charset val="134"/>
      </rPr>
      <t>参数说明</t>
    </r>
    <phoneticPr fontId="1" type="noConversion"/>
  </si>
  <si>
    <r>
      <rPr>
        <b/>
        <sz val="11"/>
        <color theme="1"/>
        <rFont val="仿宋"/>
        <family val="3"/>
        <charset val="134"/>
      </rPr>
      <t>程序输入常数</t>
    </r>
    <phoneticPr fontId="1" type="noConversion"/>
  </si>
  <si>
    <r>
      <rPr>
        <b/>
        <sz val="11"/>
        <color theme="1"/>
        <rFont val="仿宋"/>
        <family val="3"/>
        <charset val="134"/>
      </rPr>
      <t>值</t>
    </r>
    <phoneticPr fontId="1" type="noConversion"/>
  </si>
  <si>
    <r>
      <rPr>
        <b/>
        <sz val="11"/>
        <color theme="1"/>
        <rFont val="仿宋"/>
        <family val="3"/>
        <charset val="134"/>
      </rPr>
      <t>双稀释剂
同位素
真实比值</t>
    </r>
    <phoneticPr fontId="1" type="noConversion"/>
  </si>
  <si>
    <r>
      <rPr>
        <b/>
        <sz val="11"/>
        <color theme="1"/>
        <rFont val="仿宋"/>
        <family val="3"/>
        <charset val="134"/>
      </rPr>
      <t>标准样品
同位素
真实比值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</si>
</sst>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仿宋"/>
      <family val="3"/>
      <charset val="134"/>
    </font>
    <font>
      <b/>
      <sz val="20"/>
      <color theme="1"/>
      <name val="仿宋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20"/>
      <color theme="1"/>
      <name val="Times New Roman"/>
      <family val="1"/>
    </font>
    <font>
      <b/>
      <sz val="11"/>
      <color rgb="FFFF0000"/>
      <name val="Times New Roman"/>
      <family val="1"/>
    </font>
    <font>
      <b/>
      <vertAlign val="superscript"/>
      <sz val="11"/>
      <color rgb="FFFF0000"/>
      <name val="Times New Roman"/>
      <family val="1"/>
    </font>
    <font>
      <b/>
      <vertAlign val="super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9979;&#36733;-&#24494;&#20449;\WeChat%20Files\wxid_moiw575uq66g22\FileStorage\File\2025-01\&#25968;&#25454;&#25918;&#36825;&#37324;&#38754;.xlsx" TargetMode="External"/><Relationship Id="rId1" Type="http://schemas.openxmlformats.org/officeDocument/2006/relationships/externalLinkPath" Target="/&#19979;&#36733;-&#24494;&#20449;/WeChat%20Files/wxid_moiw575uq66g22/FileStorage/File/2025-01/&#25968;&#25454;&#25918;&#36825;&#37324;&#387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标定结果"/>
      <sheetName val="2测试结果"/>
      <sheetName val="3参数与输入结果"/>
      <sheetName val="4输出结果"/>
      <sheetName val="5结果"/>
    </sheetNames>
    <sheetDataSet>
      <sheetData sheetId="0">
        <row r="7">
          <cell r="C7">
            <v>1.004707</v>
          </cell>
        </row>
        <row r="13">
          <cell r="C13">
            <v>2.5245310000000001</v>
          </cell>
        </row>
        <row r="19">
          <cell r="C19">
            <v>1.7475540000000001</v>
          </cell>
        </row>
        <row r="25">
          <cell r="C25">
            <v>1.6703589999999999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13F7-C1F3-44D5-9780-5A281A6086DA}">
  <dimension ref="A1:F21"/>
  <sheetViews>
    <sheetView zoomScaleNormal="100" workbookViewId="0">
      <selection activeCell="C22" sqref="C22"/>
    </sheetView>
  </sheetViews>
  <sheetFormatPr defaultRowHeight="13.8" x14ac:dyDescent="0.25"/>
  <cols>
    <col min="1" max="1" width="14.109375" style="10" customWidth="1"/>
    <col min="2" max="7" width="23.33203125" style="10" customWidth="1"/>
    <col min="8" max="16384" width="8.88671875" style="10"/>
  </cols>
  <sheetData>
    <row r="1" spans="1:6" ht="22.8" customHeight="1" x14ac:dyDescent="0.25">
      <c r="A1" s="23" t="s">
        <v>27</v>
      </c>
      <c r="B1" s="24"/>
      <c r="C1" s="24"/>
      <c r="D1" s="24"/>
      <c r="E1" s="24"/>
      <c r="F1" s="24"/>
    </row>
    <row r="2" spans="1:6" ht="16.8" x14ac:dyDescent="0.25">
      <c r="A2" s="9" t="s">
        <v>28</v>
      </c>
      <c r="B2" s="9" t="s">
        <v>29</v>
      </c>
      <c r="C2" s="9" t="s">
        <v>30</v>
      </c>
      <c r="D2" s="9" t="s">
        <v>24</v>
      </c>
      <c r="E2" s="9" t="s">
        <v>31</v>
      </c>
      <c r="F2" s="9" t="s">
        <v>26</v>
      </c>
    </row>
    <row r="3" spans="1:6" ht="14.4" x14ac:dyDescent="0.25">
      <c r="A3" s="9" t="s">
        <v>32</v>
      </c>
      <c r="B3" s="11">
        <v>1.041072</v>
      </c>
      <c r="C3" s="12">
        <v>6.4310999999999993E-2</v>
      </c>
      <c r="D3" s="12">
        <v>2.9086999999999998E-2</v>
      </c>
      <c r="E3" s="12">
        <v>1.9288E-2</v>
      </c>
      <c r="F3" s="13">
        <v>1.0366E-2</v>
      </c>
    </row>
    <row r="4" spans="1:6" ht="14.4" x14ac:dyDescent="0.25">
      <c r="A4" s="9" t="s">
        <v>33</v>
      </c>
      <c r="B4" s="14">
        <f>'[1]1标定结果'!C7</f>
        <v>1.004707</v>
      </c>
      <c r="C4" s="15">
        <f>'[1]1标定结果'!C13</f>
        <v>2.5245310000000001</v>
      </c>
      <c r="D4" s="15">
        <f>'[1]1标定结果'!C19</f>
        <v>1.7475540000000001</v>
      </c>
      <c r="E4" s="15">
        <f>'[1]1标定结果'!C25</f>
        <v>1.6703589999999999</v>
      </c>
      <c r="F4" s="16">
        <f>'[1]1标定结果'!C7</f>
        <v>1.004707</v>
      </c>
    </row>
    <row r="5" spans="1:6" ht="21.6" customHeight="1" x14ac:dyDescent="0.25">
      <c r="A5" s="23" t="s">
        <v>34</v>
      </c>
      <c r="B5" s="23"/>
      <c r="C5" s="23"/>
      <c r="D5" s="23"/>
      <c r="E5" s="23"/>
      <c r="F5" s="23"/>
    </row>
    <row r="6" spans="1:6" ht="16.8" x14ac:dyDescent="0.25">
      <c r="A6" s="9" t="s">
        <v>28</v>
      </c>
      <c r="B6" s="9" t="s">
        <v>29</v>
      </c>
      <c r="C6" s="9" t="s">
        <v>30</v>
      </c>
      <c r="D6" s="9" t="s">
        <v>24</v>
      </c>
      <c r="E6" s="9" t="s">
        <v>31</v>
      </c>
      <c r="F6" s="9" t="s">
        <v>26</v>
      </c>
    </row>
    <row r="7" spans="1:6" ht="14.4" x14ac:dyDescent="0.25">
      <c r="A7" s="9" t="s">
        <v>35</v>
      </c>
      <c r="B7" s="17"/>
      <c r="C7" s="18"/>
      <c r="D7" s="18"/>
      <c r="E7" s="18"/>
      <c r="F7" s="19"/>
    </row>
    <row r="12" spans="1:6" ht="14.4" x14ac:dyDescent="0.25">
      <c r="B12" s="9" t="s">
        <v>36</v>
      </c>
      <c r="C12" s="9" t="s">
        <v>37</v>
      </c>
      <c r="D12" s="9" t="s">
        <v>38</v>
      </c>
    </row>
    <row r="13" spans="1:6" x14ac:dyDescent="0.25">
      <c r="A13" s="23" t="s">
        <v>39</v>
      </c>
      <c r="B13" s="9" t="s">
        <v>9</v>
      </c>
      <c r="C13" s="10" t="s">
        <v>0</v>
      </c>
      <c r="D13" s="20">
        <f>B3/E3</f>
        <v>53.975114060555789</v>
      </c>
    </row>
    <row r="14" spans="1:6" x14ac:dyDescent="0.25">
      <c r="A14" s="24"/>
      <c r="B14" s="9" t="s">
        <v>10</v>
      </c>
      <c r="C14" s="10" t="s">
        <v>1</v>
      </c>
      <c r="D14" s="21">
        <f>C3/E3</f>
        <v>3.3342492741600993</v>
      </c>
    </row>
    <row r="15" spans="1:6" x14ac:dyDescent="0.25">
      <c r="A15" s="24"/>
      <c r="B15" s="9" t="s">
        <v>11</v>
      </c>
      <c r="C15" s="10" t="s">
        <v>2</v>
      </c>
      <c r="D15" s="21">
        <f>1/E3</f>
        <v>51.845707175445874</v>
      </c>
    </row>
    <row r="16" spans="1:6" x14ac:dyDescent="0.25">
      <c r="A16" s="24" t="s">
        <v>35</v>
      </c>
      <c r="B16" s="9" t="s">
        <v>14</v>
      </c>
      <c r="C16" s="10" t="s">
        <v>3</v>
      </c>
      <c r="D16" s="21">
        <v>0.83866852000000003</v>
      </c>
    </row>
    <row r="17" spans="1:4" x14ac:dyDescent="0.25">
      <c r="A17" s="24"/>
      <c r="B17" s="9" t="s">
        <v>15</v>
      </c>
      <c r="C17" s="10" t="s">
        <v>4</v>
      </c>
      <c r="D17" s="21">
        <v>1.6287628810000001</v>
      </c>
    </row>
    <row r="18" spans="1:4" x14ac:dyDescent="0.25">
      <c r="A18" s="24"/>
      <c r="B18" s="9" t="s">
        <v>16</v>
      </c>
      <c r="C18" s="10" t="s">
        <v>5</v>
      </c>
      <c r="D18" s="21">
        <v>0.77307673600000004</v>
      </c>
    </row>
    <row r="19" spans="1:4" x14ac:dyDescent="0.25">
      <c r="A19" s="23" t="s">
        <v>40</v>
      </c>
      <c r="B19" s="9" t="s">
        <v>12</v>
      </c>
      <c r="C19" s="10" t="s">
        <v>6</v>
      </c>
      <c r="D19" s="21">
        <f>B4/E4</f>
        <v>0.60149165538665639</v>
      </c>
    </row>
    <row r="20" spans="1:4" x14ac:dyDescent="0.25">
      <c r="A20" s="24"/>
      <c r="B20" s="9" t="s">
        <v>12</v>
      </c>
      <c r="C20" s="10" t="s">
        <v>7</v>
      </c>
      <c r="D20" s="21">
        <f>C4/E4</f>
        <v>1.5113703102147504</v>
      </c>
    </row>
    <row r="21" spans="1:4" x14ac:dyDescent="0.25">
      <c r="A21" s="24"/>
      <c r="B21" s="9" t="s">
        <v>13</v>
      </c>
      <c r="C21" s="10" t="s">
        <v>8</v>
      </c>
      <c r="D21" s="22">
        <f>1/E4</f>
        <v>0.59867369828881101</v>
      </c>
    </row>
  </sheetData>
  <mergeCells count="5">
    <mergeCell ref="A1:F1"/>
    <mergeCell ref="A5:F5"/>
    <mergeCell ref="A13:A15"/>
    <mergeCell ref="A16:A18"/>
    <mergeCell ref="A19:A2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B37-7D50-4725-BC1A-30318D2B0D97}">
  <dimension ref="A1:H52"/>
  <sheetViews>
    <sheetView zoomScale="70" zoomScaleNormal="70" workbookViewId="0">
      <selection activeCell="D27" sqref="D27"/>
    </sheetView>
  </sheetViews>
  <sheetFormatPr defaultRowHeight="13.8" x14ac:dyDescent="0.25"/>
  <cols>
    <col min="1" max="5" width="16.44140625" style="5" customWidth="1"/>
    <col min="6" max="6" width="18" style="5" customWidth="1"/>
    <col min="7" max="7" width="22.6640625" style="5" customWidth="1"/>
    <col min="8" max="8" width="22.21875" style="5" customWidth="1"/>
    <col min="9" max="16384" width="8.88671875" style="2"/>
  </cols>
  <sheetData>
    <row r="1" spans="1:8" ht="25.8" x14ac:dyDescent="0.4">
      <c r="A1" s="25" t="s">
        <v>20</v>
      </c>
      <c r="B1" s="26"/>
      <c r="C1" s="26"/>
      <c r="D1" s="26"/>
      <c r="E1" s="27"/>
      <c r="F1" s="25" t="s">
        <v>21</v>
      </c>
      <c r="G1" s="26"/>
      <c r="H1" s="27"/>
    </row>
    <row r="2" spans="1:8" ht="16.8" x14ac:dyDescent="0.25">
      <c r="A2" s="6" t="s">
        <v>22</v>
      </c>
      <c r="B2" s="7" t="s">
        <v>23</v>
      </c>
      <c r="C2" s="8" t="s">
        <v>24</v>
      </c>
      <c r="D2" s="7" t="s">
        <v>25</v>
      </c>
      <c r="E2" s="8" t="s">
        <v>26</v>
      </c>
      <c r="F2" s="3" t="s">
        <v>17</v>
      </c>
      <c r="G2" s="3" t="s">
        <v>18</v>
      </c>
      <c r="H2" s="4" t="s">
        <v>19</v>
      </c>
    </row>
    <row r="3" spans="1:8" x14ac:dyDescent="0.25">
      <c r="F3" s="5">
        <v>0.94993729299999996</v>
      </c>
      <c r="G3" s="5">
        <v>0.96936259799999991</v>
      </c>
      <c r="H3" s="5">
        <v>0.97935955600000002</v>
      </c>
    </row>
    <row r="4" spans="1:8" x14ac:dyDescent="0.25">
      <c r="F4" s="5">
        <v>0.94993724999999996</v>
      </c>
      <c r="G4" s="5">
        <v>0.96936255699999996</v>
      </c>
      <c r="H4" s="5">
        <v>0.97935964099999995</v>
      </c>
    </row>
    <row r="5" spans="1:8" x14ac:dyDescent="0.25">
      <c r="F5" s="5">
        <v>0.94993725900000003</v>
      </c>
      <c r="G5" s="5">
        <v>0.96936262799999995</v>
      </c>
      <c r="H5" s="5">
        <v>0.97935958199999995</v>
      </c>
    </row>
    <row r="6" spans="1:8" x14ac:dyDescent="0.25">
      <c r="F6" s="5">
        <v>0.94993734600000002</v>
      </c>
      <c r="G6" s="5">
        <v>0.96936257199999998</v>
      </c>
      <c r="H6" s="5">
        <v>0.97935964600000003</v>
      </c>
    </row>
    <row r="7" spans="1:8" x14ac:dyDescent="0.25">
      <c r="F7" s="5">
        <v>0.94993728300000002</v>
      </c>
      <c r="G7" s="5">
        <v>0.96936257100000001</v>
      </c>
      <c r="H7" s="5">
        <v>0.97935957699999998</v>
      </c>
    </row>
    <row r="8" spans="1:8" x14ac:dyDescent="0.25">
      <c r="F8" s="5">
        <v>0.94993728499999996</v>
      </c>
      <c r="G8" s="5">
        <v>0.96936257799999992</v>
      </c>
      <c r="H8" s="5">
        <v>0.97935964799999997</v>
      </c>
    </row>
    <row r="9" spans="1:8" x14ac:dyDescent="0.25">
      <c r="F9" s="5">
        <v>0.94993733199999997</v>
      </c>
      <c r="G9" s="5">
        <v>0.96936260099999993</v>
      </c>
      <c r="H9" s="5">
        <v>0.97935958099999998</v>
      </c>
    </row>
    <row r="10" spans="1:8" x14ac:dyDescent="0.25">
      <c r="F10" s="5">
        <v>0.94993734399999996</v>
      </c>
      <c r="G10" s="5">
        <v>0.96936261099999999</v>
      </c>
      <c r="H10" s="5">
        <v>0.97935959299999997</v>
      </c>
    </row>
    <row r="11" spans="1:8" x14ac:dyDescent="0.25">
      <c r="F11" s="5">
        <v>0.94993726300000003</v>
      </c>
      <c r="G11" s="5">
        <v>0.96936255100000002</v>
      </c>
      <c r="H11" s="5">
        <v>0.97935960300000002</v>
      </c>
    </row>
    <row r="12" spans="1:8" x14ac:dyDescent="0.25">
      <c r="F12" s="5">
        <v>0.94993725399999995</v>
      </c>
      <c r="G12" s="5">
        <v>0.96936260099999993</v>
      </c>
      <c r="H12" s="5">
        <v>0.97935957900000004</v>
      </c>
    </row>
    <row r="13" spans="1:8" x14ac:dyDescent="0.25">
      <c r="F13" s="5">
        <v>0.94993726899999997</v>
      </c>
      <c r="G13" s="5">
        <v>0.96936259999999996</v>
      </c>
      <c r="H13" s="5">
        <v>0.97935961100000002</v>
      </c>
    </row>
    <row r="14" spans="1:8" x14ac:dyDescent="0.25">
      <c r="F14" s="5">
        <v>0.94993729199999999</v>
      </c>
      <c r="G14" s="5">
        <v>0.96936259199999997</v>
      </c>
      <c r="H14" s="5">
        <v>0.97935958199999995</v>
      </c>
    </row>
    <row r="15" spans="1:8" x14ac:dyDescent="0.25">
      <c r="F15" s="5">
        <v>0.94993731800000003</v>
      </c>
      <c r="G15" s="5">
        <v>0.96936255999999998</v>
      </c>
      <c r="H15" s="5">
        <v>0.97935960600000005</v>
      </c>
    </row>
    <row r="16" spans="1:8" x14ac:dyDescent="0.25">
      <c r="F16" s="5">
        <v>0.94993733899999999</v>
      </c>
      <c r="G16" s="5">
        <v>0.96936264299999997</v>
      </c>
      <c r="H16" s="5">
        <v>0.979359588</v>
      </c>
    </row>
    <row r="17" spans="6:8" x14ac:dyDescent="0.25">
      <c r="F17" s="5">
        <v>0.94993726000000001</v>
      </c>
      <c r="G17" s="5">
        <v>0.96936263199999995</v>
      </c>
      <c r="H17" s="5">
        <v>0.97935962799999998</v>
      </c>
    </row>
    <row r="18" spans="6:8" x14ac:dyDescent="0.25">
      <c r="F18" s="5">
        <v>0.94993727900000002</v>
      </c>
      <c r="G18" s="5">
        <v>0.969362642</v>
      </c>
      <c r="H18" s="5">
        <v>0.97935955900000005</v>
      </c>
    </row>
    <row r="19" spans="6:8" x14ac:dyDescent="0.25">
      <c r="F19" s="5">
        <v>0.949937264</v>
      </c>
      <c r="G19" s="5">
        <v>0.96936258099999995</v>
      </c>
      <c r="H19" s="5">
        <v>0.97935963800000003</v>
      </c>
    </row>
    <row r="20" spans="6:8" x14ac:dyDescent="0.25">
      <c r="F20" s="5">
        <v>0.94993725299999998</v>
      </c>
      <c r="G20" s="5">
        <v>0.96936264799999994</v>
      </c>
      <c r="H20" s="5">
        <v>0.97935964399999997</v>
      </c>
    </row>
    <row r="21" spans="6:8" x14ac:dyDescent="0.25">
      <c r="F21" s="5">
        <v>0.94993733699999994</v>
      </c>
      <c r="G21" s="5">
        <v>0.96936264699999997</v>
      </c>
      <c r="H21" s="5">
        <v>0.97935964899999994</v>
      </c>
    </row>
    <row r="22" spans="6:8" x14ac:dyDescent="0.25">
      <c r="F22" s="5">
        <v>0.94993733499999999</v>
      </c>
      <c r="G22" s="5">
        <v>0.96936264499999991</v>
      </c>
      <c r="H22" s="5">
        <v>0.97935957399999995</v>
      </c>
    </row>
    <row r="23" spans="6:8" x14ac:dyDescent="0.25">
      <c r="F23" s="5">
        <v>0.94993725799999995</v>
      </c>
      <c r="G23" s="5">
        <v>0.96936262499999992</v>
      </c>
      <c r="H23" s="5">
        <v>0.97935957500000004</v>
      </c>
    </row>
    <row r="24" spans="6:8" x14ac:dyDescent="0.25">
      <c r="F24" s="5">
        <v>0.94993726499999998</v>
      </c>
      <c r="G24" s="5">
        <v>0.96936262099999992</v>
      </c>
      <c r="H24" s="5">
        <v>0.97935961900000001</v>
      </c>
    </row>
    <row r="25" spans="6:8" x14ac:dyDescent="0.25">
      <c r="F25" s="5">
        <v>0.94993734899999993</v>
      </c>
      <c r="G25" s="5">
        <v>0.96936258799999997</v>
      </c>
      <c r="H25" s="5">
        <v>0.97935957799999995</v>
      </c>
    </row>
    <row r="26" spans="6:8" x14ac:dyDescent="0.25">
      <c r="F26" s="5">
        <v>0.94993732099999995</v>
      </c>
      <c r="G26" s="5">
        <v>0.96936255299999996</v>
      </c>
      <c r="H26" s="5">
        <v>0.97935964499999995</v>
      </c>
    </row>
    <row r="27" spans="6:8" x14ac:dyDescent="0.25">
      <c r="F27" s="5">
        <v>0.94993731199999998</v>
      </c>
      <c r="G27" s="5">
        <v>0.96936258899999994</v>
      </c>
      <c r="H27" s="5">
        <v>0.97935961299999996</v>
      </c>
    </row>
    <row r="28" spans="6:8" x14ac:dyDescent="0.25">
      <c r="F28" s="5">
        <v>0.94993729699999996</v>
      </c>
      <c r="G28" s="5">
        <v>0.96936263699999992</v>
      </c>
      <c r="H28" s="5">
        <v>0.97935961999999999</v>
      </c>
    </row>
    <row r="29" spans="6:8" x14ac:dyDescent="0.25">
      <c r="F29" s="5">
        <v>0.94993730200000004</v>
      </c>
      <c r="G29" s="5">
        <v>0.96936256300000001</v>
      </c>
      <c r="H29" s="5">
        <v>0.97935957500000004</v>
      </c>
    </row>
    <row r="30" spans="6:8" x14ac:dyDescent="0.25">
      <c r="F30" s="5">
        <v>0.94993733899999999</v>
      </c>
      <c r="G30" s="5">
        <v>0.96936264799999994</v>
      </c>
      <c r="H30" s="5">
        <v>0.97935964799999997</v>
      </c>
    </row>
    <row r="31" spans="6:8" x14ac:dyDescent="0.25">
      <c r="F31" s="5">
        <v>0.94993733199999997</v>
      </c>
      <c r="G31" s="5">
        <v>0.969362638</v>
      </c>
      <c r="H31" s="5">
        <v>0.97935956099999999</v>
      </c>
    </row>
    <row r="32" spans="6:8" x14ac:dyDescent="0.25">
      <c r="F32" s="5">
        <v>0.94993734899999993</v>
      </c>
      <c r="G32" s="5">
        <v>0.96936255900000001</v>
      </c>
      <c r="H32" s="5">
        <v>0.97935956599999996</v>
      </c>
    </row>
    <row r="33" spans="6:8" x14ac:dyDescent="0.25">
      <c r="F33" s="5">
        <v>0.94993730799999998</v>
      </c>
      <c r="G33" s="5">
        <v>0.96936256099999996</v>
      </c>
      <c r="H33" s="5">
        <v>0.97935957600000001</v>
      </c>
    </row>
    <row r="34" spans="6:8" x14ac:dyDescent="0.25">
      <c r="F34" s="5">
        <v>0.94993724999999996</v>
      </c>
      <c r="G34" s="5">
        <v>0.96936264599999999</v>
      </c>
      <c r="H34" s="5">
        <v>0.97935959500000003</v>
      </c>
    </row>
    <row r="35" spans="6:8" x14ac:dyDescent="0.25">
      <c r="F35" s="5">
        <v>0.94993727399999994</v>
      </c>
      <c r="G35" s="5">
        <v>0.969362638</v>
      </c>
      <c r="H35" s="5">
        <v>0.97935961999999999</v>
      </c>
    </row>
    <row r="36" spans="6:8" x14ac:dyDescent="0.25">
      <c r="F36" s="5">
        <v>0.94993726499999998</v>
      </c>
      <c r="G36" s="5">
        <v>0.96936262399999995</v>
      </c>
      <c r="H36" s="5">
        <v>0.97935957699999998</v>
      </c>
    </row>
    <row r="37" spans="6:8" x14ac:dyDescent="0.25">
      <c r="F37" s="5">
        <v>0.94993725299999998</v>
      </c>
      <c r="G37" s="5">
        <v>0.96936261099999999</v>
      </c>
      <c r="H37" s="5">
        <v>0.97935956000000002</v>
      </c>
    </row>
    <row r="38" spans="6:8" x14ac:dyDescent="0.25">
      <c r="F38" s="5">
        <v>0.949937323</v>
      </c>
      <c r="G38" s="5">
        <v>0.96936254999999993</v>
      </c>
      <c r="H38" s="5">
        <v>0.97935957399999995</v>
      </c>
    </row>
    <row r="39" spans="6:8" x14ac:dyDescent="0.25">
      <c r="F39" s="5">
        <v>0.94993728199999994</v>
      </c>
      <c r="G39" s="5">
        <v>0.96936255199999999</v>
      </c>
      <c r="H39" s="5">
        <v>0.97935962799999998</v>
      </c>
    </row>
    <row r="40" spans="6:8" x14ac:dyDescent="0.25">
      <c r="F40" s="5">
        <v>0.94993735000000001</v>
      </c>
      <c r="G40" s="5">
        <v>0.96936257199999998</v>
      </c>
      <c r="H40" s="5">
        <v>0.97935964799999997</v>
      </c>
    </row>
    <row r="41" spans="6:8" x14ac:dyDescent="0.25">
      <c r="F41" s="5">
        <v>0.94993727100000003</v>
      </c>
      <c r="G41" s="5">
        <v>0.969362642</v>
      </c>
      <c r="H41" s="5">
        <v>0.97935956199999996</v>
      </c>
    </row>
    <row r="42" spans="6:8" x14ac:dyDescent="0.25">
      <c r="F42" s="5">
        <v>0.94993734200000002</v>
      </c>
      <c r="G42" s="5">
        <v>0.96936261699999993</v>
      </c>
      <c r="H42" s="5">
        <v>0.97935959100000003</v>
      </c>
    </row>
    <row r="43" spans="6:8" x14ac:dyDescent="0.25">
      <c r="F43" s="5">
        <v>0.94993730899999995</v>
      </c>
      <c r="G43" s="5">
        <v>0.969362579</v>
      </c>
      <c r="H43" s="5">
        <v>0.979359592</v>
      </c>
    </row>
    <row r="44" spans="6:8" x14ac:dyDescent="0.25">
      <c r="F44" s="5">
        <v>0.94993726300000003</v>
      </c>
      <c r="G44" s="5">
        <v>0.96936256199999993</v>
      </c>
      <c r="H44" s="5">
        <v>0.97935963000000004</v>
      </c>
    </row>
    <row r="45" spans="6:8" x14ac:dyDescent="0.25">
      <c r="F45" s="5">
        <v>0.94993729599999999</v>
      </c>
      <c r="G45" s="5">
        <v>0.96936262200000001</v>
      </c>
      <c r="H45" s="5">
        <v>0.97935960799999999</v>
      </c>
    </row>
    <row r="46" spans="6:8" x14ac:dyDescent="0.25">
      <c r="F46" s="5">
        <v>0.94993726899999997</v>
      </c>
      <c r="G46" s="5">
        <v>0.96936262299999998</v>
      </c>
      <c r="H46" s="5">
        <v>0.979359647</v>
      </c>
    </row>
    <row r="47" spans="6:8" x14ac:dyDescent="0.25">
      <c r="F47" s="5">
        <v>0.94993731599999998</v>
      </c>
      <c r="G47" s="5">
        <v>0.96936263299999992</v>
      </c>
      <c r="H47" s="5">
        <v>0.97935963500000001</v>
      </c>
    </row>
    <row r="48" spans="6:8" x14ac:dyDescent="0.25">
      <c r="F48" s="5">
        <v>0.949937268</v>
      </c>
      <c r="G48" s="5">
        <v>0.96936255699999996</v>
      </c>
      <c r="H48" s="5">
        <v>0.97935956400000002</v>
      </c>
    </row>
    <row r="49" spans="6:8" x14ac:dyDescent="0.25">
      <c r="F49" s="5">
        <v>0.94993734399999996</v>
      </c>
      <c r="G49" s="5">
        <v>0.969362642</v>
      </c>
      <c r="H49" s="5">
        <v>0.97935957799999995</v>
      </c>
    </row>
    <row r="50" spans="6:8" x14ac:dyDescent="0.25">
      <c r="F50" s="5">
        <v>0.94993729599999999</v>
      </c>
      <c r="G50" s="5">
        <v>0.96936264399999994</v>
      </c>
      <c r="H50" s="5">
        <v>0.97935963000000004</v>
      </c>
    </row>
    <row r="51" spans="6:8" x14ac:dyDescent="0.25">
      <c r="F51" s="5">
        <v>0.94993731599999998</v>
      </c>
      <c r="G51" s="5">
        <v>0.96936260399999996</v>
      </c>
      <c r="H51" s="5">
        <v>0.97935957500000004</v>
      </c>
    </row>
    <row r="52" spans="6:8" x14ac:dyDescent="0.25">
      <c r="F52" s="5">
        <v>0.94993734200000002</v>
      </c>
      <c r="G52" s="5">
        <v>0.96936258999999991</v>
      </c>
      <c r="H52" s="5">
        <v>0.97935962899999995</v>
      </c>
    </row>
  </sheetData>
  <mergeCells count="2">
    <mergeCell ref="A1:E1"/>
    <mergeCell ref="F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A2" sqref="A2"/>
    </sheetView>
  </sheetViews>
  <sheetFormatPr defaultRowHeight="13.8" x14ac:dyDescent="0.25"/>
  <cols>
    <col min="1" max="1" width="10.44140625" style="2" customWidth="1"/>
    <col min="2" max="2" width="11" style="2" customWidth="1"/>
    <col min="3" max="3" width="12.5546875" style="2" customWidth="1"/>
    <col min="4" max="4" width="13.109375" style="2" customWidth="1"/>
    <col min="5" max="5" width="11.109375" style="2" customWidth="1"/>
    <col min="6" max="6" width="11.44140625" style="2" customWidth="1"/>
    <col min="7" max="7" width="11.5546875" style="2" customWidth="1"/>
    <col min="8" max="8" width="12.109375" style="2" customWidth="1"/>
    <col min="9" max="9" width="11.109375" style="2" customWidth="1"/>
    <col min="10" max="16384" width="8.8867187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f>'1标定实验填写结果'!D13</f>
        <v>53.975114060555789</v>
      </c>
      <c r="B2" s="2">
        <f>'1标定实验填写结果'!D14</f>
        <v>3.3342492741600993</v>
      </c>
      <c r="C2" s="2">
        <f>'1标定实验填写结果'!D15</f>
        <v>51.845707175445874</v>
      </c>
      <c r="D2" s="2">
        <f>'1标定实验填写结果'!D16</f>
        <v>0.83866852000000003</v>
      </c>
      <c r="E2" s="2">
        <f>'1标定实验填写结果'!D17</f>
        <v>1.6287628810000001</v>
      </c>
      <c r="F2" s="2">
        <f>'1标定实验填写结果'!D18</f>
        <v>0.77307673600000004</v>
      </c>
      <c r="G2" s="2">
        <f>'1标定实验填写结果'!D19</f>
        <v>0.60149165538665639</v>
      </c>
      <c r="H2" s="2">
        <f>'1标定实验填写结果'!D20</f>
        <v>1.5113703102147504</v>
      </c>
      <c r="I2" s="2">
        <f>'1标定实验填写结果'!D21</f>
        <v>0.59867369828881101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8D43-A1CA-49C7-B2C6-F54A686FF3DC}">
  <dimension ref="A1:C2"/>
  <sheetViews>
    <sheetView tabSelected="1" workbookViewId="0">
      <selection activeCell="B8" sqref="B8"/>
    </sheetView>
  </sheetViews>
  <sheetFormatPr defaultRowHeight="13.8" x14ac:dyDescent="0.25"/>
  <cols>
    <col min="1" max="3" width="27.6640625" style="2" customWidth="1"/>
    <col min="4" max="16384" width="8.88671875" style="2"/>
  </cols>
  <sheetData>
    <row r="1" spans="1:3" x14ac:dyDescent="0.25">
      <c r="A1" s="3" t="s">
        <v>17</v>
      </c>
      <c r="B1" s="3" t="s">
        <v>18</v>
      </c>
      <c r="C1" s="4" t="s">
        <v>19</v>
      </c>
    </row>
    <row r="2" spans="1:3" x14ac:dyDescent="0.25">
      <c r="A2" s="5">
        <v>0.94993729999999998</v>
      </c>
      <c r="B2" s="5">
        <v>0.96936259999999996</v>
      </c>
      <c r="C2" s="5">
        <v>0.9793596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1标定实验填写结果</vt:lpstr>
      <vt:lpstr>2测试实验填写结果</vt:lpstr>
      <vt:lpstr>3程序处理_输入常数</vt:lpstr>
      <vt:lpstr>4程序处理_输入变值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周文军</dc:creator>
  <cp:lastModifiedBy>文军 周</cp:lastModifiedBy>
  <dcterms:created xsi:type="dcterms:W3CDTF">2015-06-05T18:19:34Z</dcterms:created>
  <dcterms:modified xsi:type="dcterms:W3CDTF">2025-01-08T09:40:39Z</dcterms:modified>
</cp:coreProperties>
</file>